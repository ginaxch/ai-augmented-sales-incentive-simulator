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geloba/Desktop/data nalyst path/Week2/"/>
    </mc:Choice>
  </mc:AlternateContent>
  <xr:revisionPtr revIDLastSave="0" documentId="8_{659B2863-0433-594C-92A0-2F0CF1687DE5}" xr6:coauthVersionLast="47" xr6:coauthVersionMax="47" xr10:uidLastSave="{00000000-0000-0000-0000-000000000000}"/>
  <bookViews>
    <workbookView xWindow="0" yWindow="1200" windowWidth="28040" windowHeight="21020" activeTab="2" xr2:uid="{AAFF869A-C391-A146-82CC-AC334A6955CD}"/>
  </bookViews>
  <sheets>
    <sheet name="Raw_Sales_Ledger" sheetId="7" r:id="rId1"/>
    <sheet name="Product_Lookup" sheetId="8" r:id="rId2"/>
    <sheet name="Sales_Rep_Lookup" sheetId="9" r:id="rId3"/>
    <sheet name="Incentive_Matrix" sheetId="10" r:id="rId4"/>
    <sheet name="Tier_Thresholds" sheetId="11" r:id="rId5"/>
  </sheets>
  <definedNames>
    <definedName name="ExternalData_1" localSheetId="3" hidden="1">Incentive_Matrix!$A$1:$D$4</definedName>
    <definedName name="ExternalData_1" localSheetId="1" hidden="1">Product_Lookup!$A$1:$C$6</definedName>
    <definedName name="ExternalData_1" localSheetId="0" hidden="1">'Raw_Sales_Ledger'!$A$1:$E$21</definedName>
    <definedName name="ExternalData_1" localSheetId="2" hidden="1">Sales_Rep_Lookup!$A$1:$C$6</definedName>
    <definedName name="ExternalData_1" localSheetId="4" hidden="1">Tier_Thresholds!$A$1:$C$4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9" l="1"/>
  <c r="F3" i="9"/>
  <c r="F5" i="9"/>
  <c r="F6" i="9"/>
  <c r="E3" i="9"/>
  <c r="E4" i="9"/>
  <c r="E5" i="9"/>
  <c r="E6" i="9"/>
  <c r="F2" i="9"/>
  <c r="E2" i="9"/>
  <c r="D2" i="9"/>
  <c r="G2" i="7"/>
  <c r="G3" i="7"/>
  <c r="G4" i="7"/>
  <c r="G5" i="7"/>
  <c r="G6" i="7"/>
  <c r="H6" i="7" s="1"/>
  <c r="G7" i="7"/>
  <c r="H7" i="7" s="1"/>
  <c r="G8" i="7"/>
  <c r="H8" i="7" s="1"/>
  <c r="D3" i="9" s="1"/>
  <c r="G9" i="7"/>
  <c r="H9" i="7" s="1"/>
  <c r="D4" i="9" s="1"/>
  <c r="G10" i="7"/>
  <c r="H10" i="7" s="1"/>
  <c r="D5" i="9" s="1"/>
  <c r="G11" i="7"/>
  <c r="G12" i="7"/>
  <c r="H12" i="7" s="1"/>
  <c r="G13" i="7"/>
  <c r="G14" i="7"/>
  <c r="G15" i="7"/>
  <c r="G16" i="7"/>
  <c r="G17" i="7"/>
  <c r="G18" i="7"/>
  <c r="G19" i="7"/>
  <c r="G20" i="7"/>
  <c r="G21" i="7"/>
  <c r="H21" i="7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H3" i="7"/>
  <c r="H13" i="7"/>
  <c r="H14" i="7"/>
  <c r="H15" i="7"/>
  <c r="H16" i="7"/>
  <c r="H17" i="7"/>
  <c r="H18" i="7"/>
  <c r="H19" i="7"/>
  <c r="H20" i="7"/>
  <c r="H2" i="7"/>
  <c r="H4" i="7"/>
  <c r="H5" i="7"/>
  <c r="H11" i="7"/>
  <c r="D6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90443-EC1B-9F47-8D4A-5BA7E541E93E}" keepAlive="1" name="Query - Incentive_Matrix" description="Connection to the 'Incentive_Matrix' query in the workbook." type="5" refreshedVersion="8" background="1" saveData="1">
    <dbPr connection="Provider=Microsoft.Mashup.OleDb.1;Data Source=$Workbook$;Location=Incentive_Matrix;Extended Properties=&quot;&quot;" command="SELECT * FROM [Incentive_Matrix]"/>
  </connection>
  <connection id="2" xr16:uid="{7CD21215-D6B2-724A-B86E-394394BEF755}" keepAlive="1" name="Query - Product_Lookup" description="Connection to the 'Product_Lookup' query in the workbook." type="5" refreshedVersion="8" background="1" saveData="1">
    <dbPr connection="Provider=Microsoft.Mashup.OleDb.1;Data Source=$Workbook$;Location=Product_Lookup;Extended Properties=&quot;&quot;" command="SELECT * FROM [Product_Lookup]"/>
  </connection>
  <connection id="3" xr16:uid="{39AA0B6B-1BEF-704A-A88F-0E0777AA2EE8}" keepAlive="1" name="Query - Raw_Sales_Ledger" description="Connection to the 'Raw_Sales_Ledger' query in the workbook." type="5" refreshedVersion="0" background="1">
    <dbPr connection="Provider=Microsoft.Mashup.OleDb.1;Data Source=$Workbook$;Location=Raw_Sales_Ledger;Extended Properties=&quot;&quot;" command="SELECT * FROM [Raw_Sales_Ledger]"/>
  </connection>
  <connection id="4" xr16:uid="{E9FD4E6A-90CA-7544-960B-BD59C434CDAB}" keepAlive="1" name="Query - Raw_Sales_Ledger (2)" description="Connection to the 'Raw_Sales_Ledger (2)' query in the workbook." type="5" refreshedVersion="8" background="1" saveData="1">
    <dbPr connection="Provider=Microsoft.Mashup.OleDb.1;Data Source=$Workbook$;Location=&quot;Raw_Sales_Ledger (2)&quot;;Extended Properties=&quot;&quot;" command="SELECT * FROM [Raw_Sales_Ledger (2)]"/>
  </connection>
  <connection id="5" xr16:uid="{5D1EB85A-2757-5045-B556-B941A5CBC3C7}" keepAlive="1" name="Query - Sales_Rep_Lookup" description="Connection to the 'Sales_Rep_Lookup' query in the workbook." type="5" refreshedVersion="8" background="1" saveData="1">
    <dbPr connection="Provider=Microsoft.Mashup.OleDb.1;Data Source=$Workbook$;Location=Sales_Rep_Lookup;Extended Properties=&quot;&quot;" command="SELECT * FROM [Sales_Rep_Lookup]"/>
  </connection>
  <connection id="6" xr16:uid="{CDE71C3F-D73E-AB45-9796-340C9620767A}" keepAlive="1" name="Query - Tier_Thresholds" description="Connection to the 'Tier_Thresholds' query in the workbook." type="5" refreshedVersion="8" background="1" saveData="1">
    <dbPr connection="Provider=Microsoft.Mashup.OleDb.1;Data Source=$Workbook$;Location=Tier_Thresholds;Extended Properties=&quot;&quot;" command="SELECT * FROM [Tier_Thresholds]"/>
  </connection>
</connections>
</file>

<file path=xl/sharedStrings.xml><?xml version="1.0" encoding="utf-8"?>
<sst xmlns="http://schemas.openxmlformats.org/spreadsheetml/2006/main" count="141" uniqueCount="78">
  <si>
    <t>Date</t>
  </si>
  <si>
    <t>Sales_Rep_ID</t>
  </si>
  <si>
    <t>SKU</t>
  </si>
  <si>
    <t>ORD-10001</t>
  </si>
  <si>
    <t>2025-01-05</t>
  </si>
  <si>
    <t>SR001</t>
  </si>
  <si>
    <t>SKU-101</t>
  </si>
  <si>
    <t>ORD-10002</t>
  </si>
  <si>
    <t>SR002</t>
  </si>
  <si>
    <t>SKU-102</t>
  </si>
  <si>
    <t>ORD-10003</t>
  </si>
  <si>
    <t>2025-01-06</t>
  </si>
  <si>
    <t>SR003</t>
  </si>
  <si>
    <t>SKU-103</t>
  </si>
  <si>
    <t>ORD-10004</t>
  </si>
  <si>
    <t>SR004</t>
  </si>
  <si>
    <t>SKU-104</t>
  </si>
  <si>
    <t>ORD-10005</t>
  </si>
  <si>
    <t>2025-01-07</t>
  </si>
  <si>
    <t>SR005</t>
  </si>
  <si>
    <t>SKU-105</t>
  </si>
  <si>
    <t>ORD-10006</t>
  </si>
  <si>
    <t>ORD-10007</t>
  </si>
  <si>
    <t>2025-01-08</t>
  </si>
  <si>
    <t>ORD-10008</t>
  </si>
  <si>
    <t>ORD-10009</t>
  </si>
  <si>
    <t>2025-01-09</t>
  </si>
  <si>
    <t>ORD-10010</t>
  </si>
  <si>
    <t>ORD-10011</t>
  </si>
  <si>
    <t>2025-01-10</t>
  </si>
  <si>
    <t>ORD-10012</t>
  </si>
  <si>
    <t>ORD-10013</t>
  </si>
  <si>
    <t>2025-01-11</t>
  </si>
  <si>
    <t>ORD-10014</t>
  </si>
  <si>
    <t>ORD-10015</t>
  </si>
  <si>
    <t>2025-01-12</t>
  </si>
  <si>
    <t>ORD-10016</t>
  </si>
  <si>
    <t>ORD-10017</t>
  </si>
  <si>
    <t>2025-01-13</t>
  </si>
  <si>
    <t>ORD-10018</t>
  </si>
  <si>
    <t>ORD-10019</t>
  </si>
  <si>
    <t>2025-01-14</t>
  </si>
  <si>
    <t>ORD-10020</t>
  </si>
  <si>
    <t>Order_ID</t>
  </si>
  <si>
    <t>Units_Sold</t>
  </si>
  <si>
    <t>Enterprise CRM</t>
  </si>
  <si>
    <t>Analytics Pro</t>
  </si>
  <si>
    <t>AI Forecasting</t>
  </si>
  <si>
    <t>Sales Automation</t>
  </si>
  <si>
    <t>Customer Success Suite</t>
  </si>
  <si>
    <t>Product_Name</t>
  </si>
  <si>
    <t>Unit_Cost</t>
  </si>
  <si>
    <t>Sales_Rep_Name</t>
  </si>
  <si>
    <t>Emily Johnson</t>
  </si>
  <si>
    <t>David Chen</t>
  </si>
  <si>
    <t>Sophia Patel</t>
  </si>
  <si>
    <t>Michael Brown</t>
  </si>
  <si>
    <t>Olivia Garcia</t>
  </si>
  <si>
    <t>Region</t>
  </si>
  <si>
    <t>NA</t>
  </si>
  <si>
    <t>EMEA</t>
  </si>
  <si>
    <t>APAC</t>
  </si>
  <si>
    <t>Bronze</t>
  </si>
  <si>
    <t>0.03</t>
  </si>
  <si>
    <t>0.025</t>
  </si>
  <si>
    <t>Silver</t>
  </si>
  <si>
    <t>0.05</t>
  </si>
  <si>
    <t>0.045</t>
  </si>
  <si>
    <t>Gold</t>
  </si>
  <si>
    <t>0.08</t>
  </si>
  <si>
    <t>0.07</t>
  </si>
  <si>
    <t>Tier</t>
  </si>
  <si>
    <t>Max_Revenue</t>
  </si>
  <si>
    <t>Min_Revenue</t>
  </si>
  <si>
    <t>Revenue</t>
  </si>
  <si>
    <t>Total_Revenue_Earned</t>
  </si>
  <si>
    <t>Calculated_Tier</t>
  </si>
  <si>
    <t>Commission_Rate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</si>
</sst>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11632F6-BF5B-7546-90E8-8A64CD310780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5D144A9-A204-5E40-B59A-98BF8208BF1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B01599E-730F-7B4E-A3CA-32D76744EB88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511ACF-8A41-3449-B52F-CF720F8F04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198E5BB-7300-4947-BF9E-BDA945FF00E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1D5F0-C330-3645-BE32-B8686AB8B95D}" name="Raw_Sales_Ledger" displayName="Raw_Sales_Ledger" ref="A1:H21" tableType="queryTable" totalsRowShown="0">
  <autoFilter ref="A1:H21" xr:uid="{D0D1D5F0-C330-3645-BE32-B8686AB8B95D}"/>
  <tableColumns count="8">
    <tableColumn id="1" xr3:uid="{5088B3BE-3BBC-E643-A020-1C01654F33AE}" uniqueName="1" name="Order_ID" queryTableFieldId="1" dataDxfId="27"/>
    <tableColumn id="2" xr3:uid="{B1696FE0-3797-5144-A245-82B538D40D05}" uniqueName="2" name="Date" queryTableFieldId="2" dataDxfId="26"/>
    <tableColumn id="3" xr3:uid="{7C13FB98-9723-884A-A414-47497E83943D}" uniqueName="3" name="Sales_Rep_ID" queryTableFieldId="3" dataDxfId="25"/>
    <tableColumn id="4" xr3:uid="{35AB1508-550B-A64A-9EF7-A4B4BDD25AFC}" uniqueName="4" name="SKU" queryTableFieldId="4" dataDxfId="24"/>
    <tableColumn id="5" xr3:uid="{DBA3CD59-07BF-3943-AC0B-9B361C9FDCB4}" uniqueName="5" name="Units_Sold" queryTableFieldId="5" dataDxfId="23"/>
    <tableColumn id="6" xr3:uid="{2A878869-9EC5-9644-94CA-A56611D37929}" uniqueName="6" name="Product_Name" queryTableFieldId="6" dataDxfId="1">
      <calculatedColumnFormula>IFERROR(INDEX(Product_Lookup!A:A, MATCH("*"&amp;CLEAN(TRIM(D2))&amp;"*", Product_Lookup!B:B, 0)), "Unmapped Product")</calculatedColumnFormula>
    </tableColumn>
    <tableColumn id="7" xr3:uid="{E28BBB96-5F23-6F43-A0ED-C8799C85ACFA}" uniqueName="7" name="Unit_Cost" queryTableFieldId="7" dataDxfId="0">
      <calculatedColumnFormula>IFERROR(INDEX(Product_Lookup!C:C, MATCH(D2, Product_Lookup!B:B, 0)), 0)</calculatedColumnFormula>
    </tableColumn>
    <tableColumn id="8" xr3:uid="{964C4BFC-6633-0349-8514-E6D093CAA7BC}" uniqueName="8" name="Revenue" queryTableFieldId="8" dataDxfId="5">
      <calculatedColumnFormula>E2 * G2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A2D49-356B-1F41-8640-BE9D8BF08400}" name="Product_Lookup" displayName="Product_Lookup" ref="A1:C6" tableType="queryTable" totalsRowShown="0" headerRowDxfId="19">
  <autoFilter ref="A1:C6" xr:uid="{AD5A2D49-356B-1F41-8640-BE9D8BF08400}"/>
  <tableColumns count="3">
    <tableColumn id="1" xr3:uid="{5F4460BD-F3B3-3349-BD3D-BD30A5392028}" uniqueName="1" name="Product_Name" queryTableFieldId="1" dataDxfId="22"/>
    <tableColumn id="2" xr3:uid="{EF41AB7E-CAAC-C54E-9799-5AC8E561D98B}" uniqueName="2" name="SKU" queryTableFieldId="2" dataDxfId="21"/>
    <tableColumn id="3" xr3:uid="{97D4B73C-56D4-D446-8F56-EF1E677D7738}" uniqueName="3" name="Unit_Cost" queryTableFieldId="3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194826-EAB2-184B-BFFB-59A3C4258125}" name="Sales_Rep_Lookup" displayName="Sales_Rep_Lookup" ref="A1:F6" tableType="queryTable" totalsRowShown="0" headerRowDxfId="15">
  <autoFilter ref="A1:F6" xr:uid="{F1194826-EAB2-184B-BFFB-59A3C4258125}"/>
  <tableColumns count="6">
    <tableColumn id="1" xr3:uid="{9218574B-7C07-6844-9C1A-375889D391FB}" uniqueName="1" name="Sales_Rep_ID" queryTableFieldId="1" dataDxfId="18"/>
    <tableColumn id="2" xr3:uid="{396E8606-3701-5945-BCB9-19BA31A513A7}" uniqueName="2" name="Sales_Rep_Name" queryTableFieldId="2" dataDxfId="17"/>
    <tableColumn id="3" xr3:uid="{678984B2-A436-3641-A9DB-980DF06CA73F}" uniqueName="3" name="Region" queryTableFieldId="3" dataDxfId="16"/>
    <tableColumn id="4" xr3:uid="{B87B1B83-C82B-5E40-966E-F1A19955CE13}" uniqueName="4" name="Total_Revenue_Earned" queryTableFieldId="4" dataDxfId="3">
      <calculatedColumnFormula>SUMIF('Raw_Sales_Ledger'!C:C, A2, 'Raw_Sales_Ledger'!H:H)</calculatedColumnFormula>
    </tableColumn>
    <tableColumn id="5" xr3:uid="{05E8B295-FD0E-1745-BD27-1EDBBF4C732B}" uniqueName="5" name="Calculated_Tier" queryTableFieldId="5" dataDxfId="2">
      <calculatedColumnFormula>IFERROR(VLOOKUP(D2, Tier_Thresholds!A:C, 3, TRUE), "Bronze")</calculatedColumnFormula>
    </tableColumn>
    <tableColumn id="6" xr3:uid="{83FA1B54-13B0-6C46-A11F-62AE2D620CB7}" uniqueName="6" name="Commission_Rate" queryTableFieldId="6" dataDxfId="4">
      <calculatedColumnFormula>INDEX(Incentive_Matrix!$B$2:$D$4, MATCH(E2, Incentive_Matrix!$A$2:$A$4, 0), MATCH(C2, Incentive_Matrix!$B$1:$D$1, 0))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7DFD4B-5077-9C45-B20C-19AD18535540}" name="Incentive_Matrix" displayName="Incentive_Matrix" ref="A1:D4" tableType="queryTable" totalsRowShown="0" headerRowDxfId="10">
  <autoFilter ref="A1:D4" xr:uid="{0C7DFD4B-5077-9C45-B20C-19AD18535540}"/>
  <tableColumns count="4">
    <tableColumn id="1" xr3:uid="{AEECFCA4-CA23-AE4B-B76E-3525BEFD9F11}" uniqueName="1" name="Tier" queryTableFieldId="1" dataDxfId="14"/>
    <tableColumn id="2" xr3:uid="{6535B451-E718-0345-90B1-1A266430F943}" uniqueName="2" name="NA" queryTableFieldId="2" dataDxfId="13"/>
    <tableColumn id="3" xr3:uid="{22E10458-B4D7-7740-91DA-49303B5BEB63}" uniqueName="3" name="EMEA" queryTableFieldId="3" dataDxfId="12"/>
    <tableColumn id="4" xr3:uid="{5CDF6B13-C18F-E44C-A345-1390FE621023}" uniqueName="4" name="APAC" queryTableFieldId="4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A97E38-EABB-B04F-BA07-5F044D6F19FE}" name="Tier_Thresholds" displayName="Tier_Thresholds" ref="A1:C4" tableType="queryTable" totalsRowShown="0" headerRowDxfId="6">
  <autoFilter ref="A1:C4" xr:uid="{29A97E38-EABB-B04F-BA07-5F044D6F19FE}"/>
  <tableColumns count="3">
    <tableColumn id="1" xr3:uid="{ECEF9E67-33D4-294E-9786-FCBF318A8845}" uniqueName="1" name="Min_Revenue" queryTableFieldId="1" dataDxfId="9"/>
    <tableColumn id="2" xr3:uid="{F63AD6C4-0244-2540-86FC-BCDA3479F2E1}" uniqueName="2" name="Max_Revenue" queryTableFieldId="2" dataDxfId="8"/>
    <tableColumn id="3" xr3:uid="{97EF06CC-37B5-F841-9260-A2F83BBCCCD8}" uniqueName="3" name="Tier" queryTableFieldId="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777C-86B7-D841-813B-DA6516CE71EC}">
  <dimension ref="A1:H21"/>
  <sheetViews>
    <sheetView zoomScale="120" zoomScaleNormal="120" workbookViewId="0">
      <selection activeCell="H2" sqref="H2"/>
    </sheetView>
  </sheetViews>
  <sheetFormatPr baseColWidth="10" defaultRowHeight="16" x14ac:dyDescent="0.2"/>
  <cols>
    <col min="1" max="1" width="11" bestFit="1" customWidth="1"/>
    <col min="2" max="2" width="11.1640625" bestFit="1" customWidth="1"/>
    <col min="3" max="3" width="12.1640625" bestFit="1" customWidth="1"/>
    <col min="4" max="4" width="11.1640625" bestFit="1" customWidth="1"/>
    <col min="5" max="5" width="13" bestFit="1" customWidth="1"/>
    <col min="6" max="6" width="16.6640625" bestFit="1" customWidth="1"/>
  </cols>
  <sheetData>
    <row r="1" spans="1:8" x14ac:dyDescent="0.2">
      <c r="A1" s="1" t="s">
        <v>43</v>
      </c>
      <c r="B1" s="1" t="s">
        <v>0</v>
      </c>
      <c r="C1" s="1" t="s">
        <v>1</v>
      </c>
      <c r="D1" s="1" t="s">
        <v>2</v>
      </c>
      <c r="E1" s="1" t="s">
        <v>44</v>
      </c>
      <c r="F1" t="s">
        <v>50</v>
      </c>
      <c r="G1" t="s">
        <v>51</v>
      </c>
      <c r="H1" t="s">
        <v>74</v>
      </c>
    </row>
    <row r="2" spans="1:8" x14ac:dyDescent="0.2">
      <c r="A2" s="1" t="s">
        <v>3</v>
      </c>
      <c r="B2" s="1" t="s">
        <v>4</v>
      </c>
      <c r="C2" s="1" t="s">
        <v>5</v>
      </c>
      <c r="D2" s="1" t="s">
        <v>6</v>
      </c>
      <c r="E2" s="1">
        <v>15</v>
      </c>
      <c r="F2" s="1" t="str">
        <f>IFERROR(INDEX(Product_Lookup!A:A, MATCH("*"&amp;CLEAN(TRIM(D2))&amp;"*", Product_Lookup!B:B, 0)), "Unmapped Product")</f>
        <v>Enterprise CRM</v>
      </c>
      <c r="G2" s="1">
        <f>IFERROR(INDEX(Product_Lookup!C:C, MATCH(D2, Product_Lookup!B:B, 0)), 0)</f>
        <v>1200</v>
      </c>
      <c r="H2" s="1">
        <f t="shared" ref="H2:H21" si="0">E2 * G2</f>
        <v>18000</v>
      </c>
    </row>
    <row r="3" spans="1:8" x14ac:dyDescent="0.2">
      <c r="A3" s="1" t="s">
        <v>7</v>
      </c>
      <c r="B3" s="1" t="s">
        <v>4</v>
      </c>
      <c r="C3" s="1" t="s">
        <v>8</v>
      </c>
      <c r="D3" s="1" t="s">
        <v>9</v>
      </c>
      <c r="E3" s="1">
        <v>8</v>
      </c>
      <c r="F3" s="1" t="str">
        <f>IFERROR(INDEX(Product_Lookup!A:A, MATCH("*"&amp;CLEAN(TRIM(D3))&amp;"*", Product_Lookup!B:B, 0)), "Unmapped Product")</f>
        <v>Analytics Pro</v>
      </c>
      <c r="G3" s="1">
        <f>IFERROR(INDEX(Product_Lookup!C:C, MATCH(D3, Product_Lookup!B:B, 0)), 0)</f>
        <v>900</v>
      </c>
      <c r="H3" s="1">
        <f t="shared" si="0"/>
        <v>7200</v>
      </c>
    </row>
    <row r="4" spans="1:8" x14ac:dyDescent="0.2">
      <c r="A4" s="1" t="s">
        <v>10</v>
      </c>
      <c r="B4" s="1" t="s">
        <v>11</v>
      </c>
      <c r="C4" s="1" t="s">
        <v>12</v>
      </c>
      <c r="D4" s="1" t="s">
        <v>13</v>
      </c>
      <c r="E4" s="1">
        <v>12</v>
      </c>
      <c r="F4" s="1" t="str">
        <f>IFERROR(INDEX(Product_Lookup!A:A, MATCH("*"&amp;CLEAN(TRIM(D4))&amp;"*", Product_Lookup!B:B, 0)), "Unmapped Product")</f>
        <v>AI Forecasting</v>
      </c>
      <c r="G4" s="1">
        <f>IFERROR(INDEX(Product_Lookup!C:C, MATCH(D4, Product_Lookup!B:B, 0)), 0)</f>
        <v>1500</v>
      </c>
      <c r="H4" s="1">
        <f t="shared" si="0"/>
        <v>18000</v>
      </c>
    </row>
    <row r="5" spans="1:8" x14ac:dyDescent="0.2">
      <c r="A5" s="1" t="s">
        <v>14</v>
      </c>
      <c r="B5" s="1" t="s">
        <v>11</v>
      </c>
      <c r="C5" s="1" t="s">
        <v>15</v>
      </c>
      <c r="D5" s="1" t="s">
        <v>16</v>
      </c>
      <c r="E5" s="1">
        <v>20</v>
      </c>
      <c r="F5" s="1" t="str">
        <f>IFERROR(INDEX(Product_Lookup!A:A, MATCH("*"&amp;CLEAN(TRIM(D5))&amp;"*", Product_Lookup!B:B, 0)), "Unmapped Product")</f>
        <v>Sales Automation</v>
      </c>
      <c r="G5" s="1">
        <f>IFERROR(INDEX(Product_Lookup!C:C, MATCH(D5, Product_Lookup!B:B, 0)), 0)</f>
        <v>1100</v>
      </c>
      <c r="H5" s="1">
        <f t="shared" si="0"/>
        <v>22000</v>
      </c>
    </row>
    <row r="6" spans="1:8" x14ac:dyDescent="0.2">
      <c r="A6" s="1" t="s">
        <v>17</v>
      </c>
      <c r="B6" s="1" t="s">
        <v>18</v>
      </c>
      <c r="C6" s="1" t="s">
        <v>19</v>
      </c>
      <c r="D6" s="1" t="s">
        <v>20</v>
      </c>
      <c r="E6" s="1">
        <v>7</v>
      </c>
      <c r="F6" s="1" t="str">
        <f>IFERROR(INDEX(Product_Lookup!A:A, MATCH("*"&amp;CLEAN(TRIM(D6))&amp;"*", Product_Lookup!B:B, 0)), "Unmapped Product")</f>
        <v>Customer Success Suite</v>
      </c>
      <c r="G6" s="1">
        <f>IFERROR(INDEX(Product_Lookup!C:C, MATCH(D6, Product_Lookup!B:B, 0)), 0)</f>
        <v>800</v>
      </c>
      <c r="H6" s="1">
        <f t="shared" si="0"/>
        <v>5600</v>
      </c>
    </row>
    <row r="7" spans="1:8" x14ac:dyDescent="0.2">
      <c r="A7" s="1" t="s">
        <v>21</v>
      </c>
      <c r="B7" s="1" t="s">
        <v>18</v>
      </c>
      <c r="C7" s="1" t="s">
        <v>5</v>
      </c>
      <c r="D7" s="1" t="s">
        <v>9</v>
      </c>
      <c r="E7" s="1">
        <v>18</v>
      </c>
      <c r="F7" s="1" t="str">
        <f>IFERROR(INDEX(Product_Lookup!A:A, MATCH("*"&amp;CLEAN(TRIM(D7))&amp;"*", Product_Lookup!B:B, 0)), "Unmapped Product")</f>
        <v>Analytics Pro</v>
      </c>
      <c r="G7" s="1">
        <f>IFERROR(INDEX(Product_Lookup!C:C, MATCH(D7, Product_Lookup!B:B, 0)), 0)</f>
        <v>900</v>
      </c>
      <c r="H7" s="1">
        <f t="shared" si="0"/>
        <v>16200</v>
      </c>
    </row>
    <row r="8" spans="1:8" x14ac:dyDescent="0.2">
      <c r="A8" s="1" t="s">
        <v>22</v>
      </c>
      <c r="B8" s="1" t="s">
        <v>23</v>
      </c>
      <c r="C8" s="1" t="s">
        <v>8</v>
      </c>
      <c r="D8" s="1" t="s">
        <v>16</v>
      </c>
      <c r="E8" s="1">
        <v>25</v>
      </c>
      <c r="F8" s="1" t="str">
        <f>IFERROR(INDEX(Product_Lookup!A:A, MATCH("*"&amp;CLEAN(TRIM(D8))&amp;"*", Product_Lookup!B:B, 0)), "Unmapped Product")</f>
        <v>Sales Automation</v>
      </c>
      <c r="G8" s="1">
        <f>IFERROR(INDEX(Product_Lookup!C:C, MATCH(D8, Product_Lookup!B:B, 0)), 0)</f>
        <v>1100</v>
      </c>
      <c r="H8" s="1">
        <f t="shared" si="0"/>
        <v>27500</v>
      </c>
    </row>
    <row r="9" spans="1:8" x14ac:dyDescent="0.2">
      <c r="A9" s="1" t="s">
        <v>24</v>
      </c>
      <c r="B9" s="1" t="s">
        <v>23</v>
      </c>
      <c r="C9" s="1" t="s">
        <v>12</v>
      </c>
      <c r="D9" s="1" t="s">
        <v>6</v>
      </c>
      <c r="E9" s="1">
        <v>9</v>
      </c>
      <c r="F9" s="1" t="str">
        <f>IFERROR(INDEX(Product_Lookup!A:A, MATCH("*"&amp;CLEAN(TRIM(D9))&amp;"*", Product_Lookup!B:B, 0)), "Unmapped Product")</f>
        <v>Enterprise CRM</v>
      </c>
      <c r="G9" s="1">
        <f>IFERROR(INDEX(Product_Lookup!C:C, MATCH(D9, Product_Lookup!B:B, 0)), 0)</f>
        <v>1200</v>
      </c>
      <c r="H9" s="1">
        <f t="shared" si="0"/>
        <v>10800</v>
      </c>
    </row>
    <row r="10" spans="1:8" x14ac:dyDescent="0.2">
      <c r="A10" s="1" t="s">
        <v>25</v>
      </c>
      <c r="B10" s="1" t="s">
        <v>26</v>
      </c>
      <c r="C10" s="1" t="s">
        <v>15</v>
      </c>
      <c r="D10" s="1" t="s">
        <v>13</v>
      </c>
      <c r="E10" s="1">
        <v>14</v>
      </c>
      <c r="F10" s="1" t="str">
        <f>IFERROR(INDEX(Product_Lookup!A:A, MATCH("*"&amp;CLEAN(TRIM(D10))&amp;"*", Product_Lookup!B:B, 0)), "Unmapped Product")</f>
        <v>AI Forecasting</v>
      </c>
      <c r="G10" s="1">
        <f>IFERROR(INDEX(Product_Lookup!C:C, MATCH(D10, Product_Lookup!B:B, 0)), 0)</f>
        <v>1500</v>
      </c>
      <c r="H10" s="1">
        <f t="shared" si="0"/>
        <v>21000</v>
      </c>
    </row>
    <row r="11" spans="1:8" x14ac:dyDescent="0.2">
      <c r="A11" s="1" t="s">
        <v>27</v>
      </c>
      <c r="B11" s="1" t="s">
        <v>26</v>
      </c>
      <c r="C11" s="1" t="s">
        <v>19</v>
      </c>
      <c r="D11" s="1" t="s">
        <v>20</v>
      </c>
      <c r="E11" s="1">
        <v>11</v>
      </c>
      <c r="F11" s="1" t="str">
        <f>IFERROR(INDEX(Product_Lookup!A:A, MATCH("*"&amp;CLEAN(TRIM(D11))&amp;"*", Product_Lookup!B:B, 0)), "Unmapped Product")</f>
        <v>Customer Success Suite</v>
      </c>
      <c r="G11" s="1">
        <f>IFERROR(INDEX(Product_Lookup!C:C, MATCH(D11, Product_Lookup!B:B, 0)), 0)</f>
        <v>800</v>
      </c>
      <c r="H11" s="1">
        <f t="shared" si="0"/>
        <v>8800</v>
      </c>
    </row>
    <row r="12" spans="1:8" x14ac:dyDescent="0.2">
      <c r="A12" s="1" t="s">
        <v>28</v>
      </c>
      <c r="B12" s="1" t="s">
        <v>29</v>
      </c>
      <c r="C12" s="1" t="s">
        <v>5</v>
      </c>
      <c r="D12" s="1" t="s">
        <v>16</v>
      </c>
      <c r="E12" s="1">
        <v>22</v>
      </c>
      <c r="F12" s="1" t="str">
        <f>IFERROR(INDEX(Product_Lookup!A:A, MATCH("*"&amp;CLEAN(TRIM(D12))&amp;"*", Product_Lookup!B:B, 0)), "Unmapped Product")</f>
        <v>Sales Automation</v>
      </c>
      <c r="G12" s="1">
        <f>IFERROR(INDEX(Product_Lookup!C:C, MATCH(D12, Product_Lookup!B:B, 0)), 0)</f>
        <v>1100</v>
      </c>
      <c r="H12" s="1">
        <f t="shared" si="0"/>
        <v>24200</v>
      </c>
    </row>
    <row r="13" spans="1:8" x14ac:dyDescent="0.2">
      <c r="A13" s="1" t="s">
        <v>30</v>
      </c>
      <c r="B13" s="1" t="s">
        <v>29</v>
      </c>
      <c r="C13" s="1" t="s">
        <v>8</v>
      </c>
      <c r="D13" s="1" t="s">
        <v>6</v>
      </c>
      <c r="E13" s="1">
        <v>16</v>
      </c>
      <c r="F13" s="1" t="str">
        <f>IFERROR(INDEX(Product_Lookup!A:A, MATCH("*"&amp;CLEAN(TRIM(D13))&amp;"*", Product_Lookup!B:B, 0)), "Unmapped Product")</f>
        <v>Enterprise CRM</v>
      </c>
      <c r="G13" s="1">
        <f>IFERROR(INDEX(Product_Lookup!C:C, MATCH(D13, Product_Lookup!B:B, 0)), 0)</f>
        <v>1200</v>
      </c>
      <c r="H13" s="1">
        <f t="shared" si="0"/>
        <v>19200</v>
      </c>
    </row>
    <row r="14" spans="1:8" x14ac:dyDescent="0.2">
      <c r="A14" s="1" t="s">
        <v>31</v>
      </c>
      <c r="B14" s="1" t="s">
        <v>32</v>
      </c>
      <c r="C14" s="1" t="s">
        <v>12</v>
      </c>
      <c r="D14" s="1" t="s">
        <v>9</v>
      </c>
      <c r="E14" s="1">
        <v>13</v>
      </c>
      <c r="F14" s="1" t="str">
        <f>IFERROR(INDEX(Product_Lookup!A:A, MATCH("*"&amp;CLEAN(TRIM(D14))&amp;"*", Product_Lookup!B:B, 0)), "Unmapped Product")</f>
        <v>Analytics Pro</v>
      </c>
      <c r="G14" s="1">
        <f>IFERROR(INDEX(Product_Lookup!C:C, MATCH(D14, Product_Lookup!B:B, 0)), 0)</f>
        <v>900</v>
      </c>
      <c r="H14" s="1">
        <f t="shared" si="0"/>
        <v>11700</v>
      </c>
    </row>
    <row r="15" spans="1:8" x14ac:dyDescent="0.2">
      <c r="A15" s="1" t="s">
        <v>33</v>
      </c>
      <c r="B15" s="1" t="s">
        <v>32</v>
      </c>
      <c r="C15" s="1" t="s">
        <v>15</v>
      </c>
      <c r="D15" s="1" t="s">
        <v>20</v>
      </c>
      <c r="E15" s="1">
        <v>17</v>
      </c>
      <c r="F15" s="1" t="str">
        <f>IFERROR(INDEX(Product_Lookup!A:A, MATCH("*"&amp;CLEAN(TRIM(D15))&amp;"*", Product_Lookup!B:B, 0)), "Unmapped Product")</f>
        <v>Customer Success Suite</v>
      </c>
      <c r="G15" s="1">
        <f>IFERROR(INDEX(Product_Lookup!C:C, MATCH(D15, Product_Lookup!B:B, 0)), 0)</f>
        <v>800</v>
      </c>
      <c r="H15" s="1">
        <f t="shared" si="0"/>
        <v>13600</v>
      </c>
    </row>
    <row r="16" spans="1:8" x14ac:dyDescent="0.2">
      <c r="A16" s="1" t="s">
        <v>34</v>
      </c>
      <c r="B16" s="1" t="s">
        <v>35</v>
      </c>
      <c r="C16" s="1" t="s">
        <v>19</v>
      </c>
      <c r="D16" s="1" t="s">
        <v>13</v>
      </c>
      <c r="E16" s="1">
        <v>21</v>
      </c>
      <c r="F16" s="1" t="str">
        <f>IFERROR(INDEX(Product_Lookup!A:A, MATCH("*"&amp;CLEAN(TRIM(D16))&amp;"*", Product_Lookup!B:B, 0)), "Unmapped Product")</f>
        <v>AI Forecasting</v>
      </c>
      <c r="G16" s="1">
        <f>IFERROR(INDEX(Product_Lookup!C:C, MATCH(D16, Product_Lookup!B:B, 0)), 0)</f>
        <v>1500</v>
      </c>
      <c r="H16" s="1">
        <f t="shared" si="0"/>
        <v>31500</v>
      </c>
    </row>
    <row r="17" spans="1:8" x14ac:dyDescent="0.2">
      <c r="A17" s="1" t="s">
        <v>36</v>
      </c>
      <c r="B17" s="1" t="s">
        <v>35</v>
      </c>
      <c r="C17" s="1" t="s">
        <v>5</v>
      </c>
      <c r="D17" s="1" t="s">
        <v>20</v>
      </c>
      <c r="E17" s="1">
        <v>10</v>
      </c>
      <c r="F17" s="1" t="str">
        <f>IFERROR(INDEX(Product_Lookup!A:A, MATCH("*"&amp;CLEAN(TRIM(D17))&amp;"*", Product_Lookup!B:B, 0)), "Unmapped Product")</f>
        <v>Customer Success Suite</v>
      </c>
      <c r="G17" s="1">
        <f>IFERROR(INDEX(Product_Lookup!C:C, MATCH(D17, Product_Lookup!B:B, 0)), 0)</f>
        <v>800</v>
      </c>
      <c r="H17" s="1">
        <f t="shared" si="0"/>
        <v>8000</v>
      </c>
    </row>
    <row r="18" spans="1:8" x14ac:dyDescent="0.2">
      <c r="A18" s="1" t="s">
        <v>37</v>
      </c>
      <c r="B18" s="1" t="s">
        <v>38</v>
      </c>
      <c r="C18" s="1" t="s">
        <v>8</v>
      </c>
      <c r="D18" s="1" t="s">
        <v>13</v>
      </c>
      <c r="E18" s="1">
        <v>24</v>
      </c>
      <c r="F18" s="1" t="str">
        <f>IFERROR(INDEX(Product_Lookup!A:A, MATCH("*"&amp;CLEAN(TRIM(D18))&amp;"*", Product_Lookup!B:B, 0)), "Unmapped Product")</f>
        <v>AI Forecasting</v>
      </c>
      <c r="G18" s="1">
        <f>IFERROR(INDEX(Product_Lookup!C:C, MATCH(D18, Product_Lookup!B:B, 0)), 0)</f>
        <v>1500</v>
      </c>
      <c r="H18" s="1">
        <f t="shared" si="0"/>
        <v>36000</v>
      </c>
    </row>
    <row r="19" spans="1:8" x14ac:dyDescent="0.2">
      <c r="A19" s="1" t="s">
        <v>39</v>
      </c>
      <c r="B19" s="1" t="s">
        <v>38</v>
      </c>
      <c r="C19" s="1" t="s">
        <v>12</v>
      </c>
      <c r="D19" s="1" t="s">
        <v>16</v>
      </c>
      <c r="E19" s="1">
        <v>19</v>
      </c>
      <c r="F19" s="1" t="str">
        <f>IFERROR(INDEX(Product_Lookup!A:A, MATCH("*"&amp;CLEAN(TRIM(D19))&amp;"*", Product_Lookup!B:B, 0)), "Unmapped Product")</f>
        <v>Sales Automation</v>
      </c>
      <c r="G19" s="1">
        <f>IFERROR(INDEX(Product_Lookup!C:C, MATCH(D19, Product_Lookup!B:B, 0)), 0)</f>
        <v>1100</v>
      </c>
      <c r="H19" s="1">
        <f t="shared" si="0"/>
        <v>20900</v>
      </c>
    </row>
    <row r="20" spans="1:8" x14ac:dyDescent="0.2">
      <c r="A20" s="1" t="s">
        <v>40</v>
      </c>
      <c r="B20" s="1" t="s">
        <v>41</v>
      </c>
      <c r="C20" s="1" t="s">
        <v>15</v>
      </c>
      <c r="D20" s="1" t="s">
        <v>6</v>
      </c>
      <c r="E20" s="1">
        <v>28</v>
      </c>
      <c r="F20" s="1" t="str">
        <f>IFERROR(INDEX(Product_Lookup!A:A, MATCH("*"&amp;CLEAN(TRIM(D20))&amp;"*", Product_Lookup!B:B, 0)), "Unmapped Product")</f>
        <v>Enterprise CRM</v>
      </c>
      <c r="G20" s="1">
        <f>IFERROR(INDEX(Product_Lookup!C:C, MATCH(D20, Product_Lookup!B:B, 0)), 0)</f>
        <v>1200</v>
      </c>
      <c r="H20" s="1">
        <f t="shared" si="0"/>
        <v>33600</v>
      </c>
    </row>
    <row r="21" spans="1:8" x14ac:dyDescent="0.2">
      <c r="A21" s="1" t="s">
        <v>42</v>
      </c>
      <c r="B21" s="1" t="s">
        <v>41</v>
      </c>
      <c r="C21" s="1" t="s">
        <v>19</v>
      </c>
      <c r="D21" s="1" t="s">
        <v>9</v>
      </c>
      <c r="E21" s="1">
        <v>15</v>
      </c>
      <c r="F21" s="1" t="str">
        <f>IFERROR(INDEX(Product_Lookup!A:A, MATCH("*"&amp;CLEAN(TRIM(D21))&amp;"*", Product_Lookup!B:B, 0)), "Unmapped Product")</f>
        <v>Analytics Pro</v>
      </c>
      <c r="G21" s="1">
        <f>IFERROR(INDEX(Product_Lookup!C:C, MATCH(D21, Product_Lookup!B:B, 0)), 0)</f>
        <v>900</v>
      </c>
      <c r="H21" s="1">
        <f t="shared" si="0"/>
        <v>13500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8D15-D4C0-204F-A986-00A30C123C63}">
  <dimension ref="A1:C6"/>
  <sheetViews>
    <sheetView zoomScale="120" zoomScaleNormal="120" workbookViewId="0">
      <selection activeCell="E17" sqref="E17"/>
    </sheetView>
  </sheetViews>
  <sheetFormatPr baseColWidth="10" defaultRowHeight="16" x14ac:dyDescent="0.2"/>
  <cols>
    <col min="1" max="1" width="20.83203125" bestFit="1" customWidth="1"/>
    <col min="2" max="2" width="11.1640625" bestFit="1" customWidth="1"/>
    <col min="3" max="3" width="15.33203125" customWidth="1"/>
  </cols>
  <sheetData>
    <row r="1" spans="1:3" x14ac:dyDescent="0.2">
      <c r="A1" s="1" t="s">
        <v>50</v>
      </c>
      <c r="B1" s="1" t="s">
        <v>2</v>
      </c>
      <c r="C1" s="1" t="s">
        <v>51</v>
      </c>
    </row>
    <row r="2" spans="1:3" x14ac:dyDescent="0.2">
      <c r="A2" s="1" t="s">
        <v>45</v>
      </c>
      <c r="B2" s="1" t="s">
        <v>6</v>
      </c>
      <c r="C2" s="1">
        <v>1200</v>
      </c>
    </row>
    <row r="3" spans="1:3" x14ac:dyDescent="0.2">
      <c r="A3" s="1" t="s">
        <v>46</v>
      </c>
      <c r="B3" s="1" t="s">
        <v>9</v>
      </c>
      <c r="C3" s="1">
        <v>900</v>
      </c>
    </row>
    <row r="4" spans="1:3" x14ac:dyDescent="0.2">
      <c r="A4" s="1" t="s">
        <v>47</v>
      </c>
      <c r="B4" s="1" t="s">
        <v>13</v>
      </c>
      <c r="C4" s="1">
        <v>1500</v>
      </c>
    </row>
    <row r="5" spans="1:3" x14ac:dyDescent="0.2">
      <c r="A5" s="1" t="s">
        <v>48</v>
      </c>
      <c r="B5" s="1" t="s">
        <v>16</v>
      </c>
      <c r="C5" s="1">
        <v>1100</v>
      </c>
    </row>
    <row r="6" spans="1:3" x14ac:dyDescent="0.2">
      <c r="A6" s="1" t="s">
        <v>49</v>
      </c>
      <c r="B6" s="1" t="s">
        <v>20</v>
      </c>
      <c r="C6" s="1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015A-833F-3848-BB8B-E2EAA75F659E}">
  <dimension ref="A1:F6"/>
  <sheetViews>
    <sheetView tabSelected="1" zoomScale="120" zoomScaleNormal="120" workbookViewId="0">
      <selection activeCell="E11" sqref="E11:E12"/>
    </sheetView>
  </sheetViews>
  <sheetFormatPr baseColWidth="10" defaultRowHeight="16" x14ac:dyDescent="0.2"/>
  <cols>
    <col min="1" max="1" width="23.6640625" bestFit="1" customWidth="1"/>
    <col min="2" max="2" width="15.1640625" bestFit="1" customWidth="1"/>
    <col min="3" max="3" width="11.1640625" bestFit="1" customWidth="1"/>
    <col min="4" max="4" width="22.1640625" bestFit="1" customWidth="1"/>
    <col min="5" max="5" width="16.5" bestFit="1" customWidth="1"/>
  </cols>
  <sheetData>
    <row r="1" spans="1:6" x14ac:dyDescent="0.2">
      <c r="A1" s="1" t="s">
        <v>1</v>
      </c>
      <c r="B1" s="1" t="s">
        <v>52</v>
      </c>
      <c r="C1" s="1" t="s">
        <v>58</v>
      </c>
      <c r="D1" s="1" t="s">
        <v>75</v>
      </c>
      <c r="E1" s="1" t="s">
        <v>76</v>
      </c>
      <c r="F1" s="1" t="s">
        <v>77</v>
      </c>
    </row>
    <row r="2" spans="1:6" x14ac:dyDescent="0.2">
      <c r="A2" s="1" t="s">
        <v>5</v>
      </c>
      <c r="B2" s="1" t="s">
        <v>53</v>
      </c>
      <c r="C2" s="1" t="s">
        <v>59</v>
      </c>
      <c r="D2" s="1">
        <f>SUMIF('Raw_Sales_Ledger'!C:C, A2, 'Raw_Sales_Ledger'!H:H)</f>
        <v>66400</v>
      </c>
      <c r="E2" s="1" t="str">
        <f>IFERROR(VLOOKUP(D2, Tier_Thresholds!A:C, 3, TRUE), "Bronze")</f>
        <v>Silver</v>
      </c>
      <c r="F2" s="1" t="str">
        <f>INDEX(Incentive_Matrix!$B$2:$D$4, MATCH(E2, Incentive_Matrix!$A$2:$A$4, 0), MATCH(C2, Incentive_Matrix!$B$1:$D$1, 0))</f>
        <v>0.05</v>
      </c>
    </row>
    <row r="3" spans="1:6" x14ac:dyDescent="0.2">
      <c r="A3" s="1" t="s">
        <v>8</v>
      </c>
      <c r="B3" s="1" t="s">
        <v>54</v>
      </c>
      <c r="C3" s="1" t="s">
        <v>60</v>
      </c>
      <c r="D3" s="1">
        <f>SUMIF('Raw_Sales_Ledger'!C:C, A3, 'Raw_Sales_Ledger'!H:H)</f>
        <v>89900</v>
      </c>
      <c r="E3" s="1" t="str">
        <f>IFERROR(VLOOKUP(D3, Tier_Thresholds!A:C, 3, TRUE), "Bronze")</f>
        <v>Silver</v>
      </c>
      <c r="F3" s="1" t="str">
        <f>INDEX(Incentive_Matrix!$B$2:$D$4, MATCH(E3, Incentive_Matrix!$A$2:$A$4, 0), MATCH(C3, Incentive_Matrix!$B$1:$D$1, 0))</f>
        <v>0.045</v>
      </c>
    </row>
    <row r="4" spans="1:6" x14ac:dyDescent="0.2">
      <c r="A4" s="1" t="s">
        <v>12</v>
      </c>
      <c r="B4" s="1" t="s">
        <v>55</v>
      </c>
      <c r="C4" s="1" t="s">
        <v>61</v>
      </c>
      <c r="D4" s="1">
        <f>SUMIF('Raw_Sales_Ledger'!C:C, A4, 'Raw_Sales_Ledger'!H:H)</f>
        <v>61400</v>
      </c>
      <c r="E4" s="1" t="str">
        <f>IFERROR(VLOOKUP(D4, Tier_Thresholds!A:C, 3, TRUE), "Bronze")</f>
        <v>Silver</v>
      </c>
      <c r="F4" s="2">
        <f>INDEX(Incentive_Matrix!$B$2:$D$4, MATCH(E4, Incentive_Matrix!$A$2:$A$4, 0), MATCH(C4, Incentive_Matrix!$B$1:$D$1, 0))</f>
        <v>0.04</v>
      </c>
    </row>
    <row r="5" spans="1:6" x14ac:dyDescent="0.2">
      <c r="A5" s="1" t="s">
        <v>15</v>
      </c>
      <c r="B5" s="1" t="s">
        <v>56</v>
      </c>
      <c r="C5" s="1" t="s">
        <v>59</v>
      </c>
      <c r="D5" s="1">
        <f>SUMIF('Raw_Sales_Ledger'!C:C, A5, 'Raw_Sales_Ledger'!H:H)</f>
        <v>90200</v>
      </c>
      <c r="E5" s="1" t="str">
        <f>IFERROR(VLOOKUP(D5, Tier_Thresholds!A:C, 3, TRUE), "Bronze")</f>
        <v>Silver</v>
      </c>
      <c r="F5" s="1" t="str">
        <f>INDEX(Incentive_Matrix!$B$2:$D$4, MATCH(E5, Incentive_Matrix!$A$2:$A$4, 0), MATCH(C5, Incentive_Matrix!$B$1:$D$1, 0))</f>
        <v>0.05</v>
      </c>
    </row>
    <row r="6" spans="1:6" x14ac:dyDescent="0.2">
      <c r="A6" s="1" t="s">
        <v>19</v>
      </c>
      <c r="B6" s="1" t="s">
        <v>57</v>
      </c>
      <c r="C6" s="1" t="s">
        <v>60</v>
      </c>
      <c r="D6" s="1">
        <f>SUMIF('Raw_Sales_Ledger'!C:C, A6, 'Raw_Sales_Ledger'!H:H)</f>
        <v>59400</v>
      </c>
      <c r="E6" s="1" t="str">
        <f>IFERROR(VLOOKUP(D6, Tier_Thresholds!A:C, 3, TRUE), "Bronze")</f>
        <v>Silver</v>
      </c>
      <c r="F6" s="1" t="str">
        <f>INDEX(Incentive_Matrix!$B$2:$D$4, MATCH(E6, Incentive_Matrix!$A$2:$A$4, 0), MATCH(C6, Incentive_Matrix!$B$1:$D$1, 0))</f>
        <v>0.045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3A3A-5816-CB4E-8A7B-55B244DE28D3}">
  <dimension ref="A1:D4"/>
  <sheetViews>
    <sheetView zoomScale="120" zoomScaleNormal="120" workbookViewId="0">
      <selection activeCell="A11" sqref="A11"/>
    </sheetView>
  </sheetViews>
  <sheetFormatPr baseColWidth="10" defaultRowHeight="16" x14ac:dyDescent="0.2"/>
  <cols>
    <col min="1" max="1" width="6.83203125" bestFit="1" customWidth="1"/>
    <col min="2" max="4" width="11.1640625" bestFit="1" customWidth="1"/>
  </cols>
  <sheetData>
    <row r="1" spans="1:4" x14ac:dyDescent="0.2">
      <c r="A1" s="1" t="s">
        <v>71</v>
      </c>
      <c r="B1" s="1" t="s">
        <v>59</v>
      </c>
      <c r="C1" s="1" t="s">
        <v>60</v>
      </c>
      <c r="D1" s="1" t="s">
        <v>61</v>
      </c>
    </row>
    <row r="2" spans="1:4" x14ac:dyDescent="0.2">
      <c r="A2" s="1" t="s">
        <v>62</v>
      </c>
      <c r="B2" s="1" t="s">
        <v>63</v>
      </c>
      <c r="C2" s="1" t="s">
        <v>64</v>
      </c>
      <c r="D2" s="1">
        <v>0.02</v>
      </c>
    </row>
    <row r="3" spans="1:4" x14ac:dyDescent="0.2">
      <c r="A3" s="1" t="s">
        <v>65</v>
      </c>
      <c r="B3" s="1" t="s">
        <v>66</v>
      </c>
      <c r="C3" s="1" t="s">
        <v>67</v>
      </c>
      <c r="D3" s="1">
        <v>0.04</v>
      </c>
    </row>
    <row r="4" spans="1:4" x14ac:dyDescent="0.2">
      <c r="A4" s="1" t="s">
        <v>68</v>
      </c>
      <c r="B4" s="1" t="s">
        <v>69</v>
      </c>
      <c r="C4" s="1" t="s">
        <v>70</v>
      </c>
      <c r="D4" s="1">
        <v>6.5000000000000002E-2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A4D7-6448-8544-B218-7490647B02F9}">
  <dimension ref="A1:C4"/>
  <sheetViews>
    <sheetView zoomScale="120" zoomScaleNormal="120" workbookViewId="0">
      <selection activeCell="B8" sqref="B8"/>
    </sheetView>
  </sheetViews>
  <sheetFormatPr baseColWidth="10" defaultRowHeight="16" x14ac:dyDescent="0.2"/>
  <cols>
    <col min="1" max="1" width="14.5" bestFit="1" customWidth="1"/>
    <col min="2" max="2" width="12.33203125" bestFit="1" customWidth="1"/>
    <col min="3" max="3" width="11.1640625" bestFit="1" customWidth="1"/>
  </cols>
  <sheetData>
    <row r="1" spans="1:3" x14ac:dyDescent="0.2">
      <c r="A1" s="1" t="s">
        <v>73</v>
      </c>
      <c r="B1" s="1" t="s">
        <v>72</v>
      </c>
      <c r="C1" s="1" t="s">
        <v>71</v>
      </c>
    </row>
    <row r="2" spans="1:3" x14ac:dyDescent="0.2">
      <c r="A2" s="1">
        <v>0</v>
      </c>
      <c r="B2" s="1">
        <v>49999</v>
      </c>
      <c r="C2" s="1" t="s">
        <v>62</v>
      </c>
    </row>
    <row r="3" spans="1:3" x14ac:dyDescent="0.2">
      <c r="A3" s="1">
        <v>50000</v>
      </c>
      <c r="B3" s="1">
        <v>99999</v>
      </c>
      <c r="C3" s="1" t="s">
        <v>65</v>
      </c>
    </row>
    <row r="4" spans="1:3" x14ac:dyDescent="0.2">
      <c r="A4" s="1">
        <v>100000</v>
      </c>
      <c r="B4" s="1">
        <v>999999999</v>
      </c>
      <c r="C4" s="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0057A-8E5A-3A4D-80DC-41573ED526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Raw_Sales_Ledger</vt:lpstr>
      <vt:lpstr>Product_Lookup</vt:lpstr>
      <vt:lpstr>Sales_Rep_Lookup</vt:lpstr>
      <vt:lpstr>Incentive_Matrix</vt:lpstr>
      <vt:lpstr>Tier_Thresholds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Cheng</dc:creator>
  <cp:lastModifiedBy>Gina Cheng</cp:lastModifiedBy>
  <dcterms:created xsi:type="dcterms:W3CDTF">2026-05-30T02:19:44Z</dcterms:created>
  <dcterms:modified xsi:type="dcterms:W3CDTF">2026-05-30T03:21:08Z</dcterms:modified>
</cp:coreProperties>
</file>